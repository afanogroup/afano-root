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Year Capital Plan" sheetId="1" state="visible" r:id="rId1"/>
    <sheet xmlns:r="http://schemas.openxmlformats.org/officeDocument/2006/relationships"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B1F3A"/>
        <bgColor rgb="000B1F3A"/>
      </patternFill>
    </fill>
    <fill>
      <patternFill patternType="solid">
        <fgColor rgb="00E0E5EC"/>
        <bgColor rgb="00E0E5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40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6" customWidth="1" min="18" max="18"/>
    <col width="16" customWidth="1" min="19" max="19"/>
  </cols>
  <sheetData>
    <row r="1">
      <c r="A1" s="1" t="inlineStr">
        <is>
          <t>SBG #</t>
        </is>
      </c>
      <c r="B1" s="1" t="inlineStr">
        <is>
          <t>Strategic Business Group</t>
        </is>
      </c>
      <c r="C1" s="1" t="inlineStr">
        <is>
          <t>Y1 Capex</t>
        </is>
      </c>
      <c r="D1" s="1" t="inlineStr">
        <is>
          <t>Y1 Opex</t>
        </is>
      </c>
      <c r="E1" s="1" t="inlineStr">
        <is>
          <t>Y1 HC</t>
        </is>
      </c>
      <c r="F1" s="1" t="inlineStr">
        <is>
          <t>Y2 Capex</t>
        </is>
      </c>
      <c r="G1" s="1" t="inlineStr">
        <is>
          <t>Y2 Opex</t>
        </is>
      </c>
      <c r="H1" s="1" t="inlineStr">
        <is>
          <t>Y2 HC</t>
        </is>
      </c>
      <c r="I1" s="1" t="inlineStr">
        <is>
          <t>Y3 Capex</t>
        </is>
      </c>
      <c r="J1" s="1" t="inlineStr">
        <is>
          <t>Y3 Opex</t>
        </is>
      </c>
      <c r="K1" s="1" t="inlineStr">
        <is>
          <t>Y3 HC</t>
        </is>
      </c>
      <c r="L1" s="1" t="inlineStr">
        <is>
          <t>Y4 Capex</t>
        </is>
      </c>
      <c r="M1" s="1" t="inlineStr">
        <is>
          <t>Y4 Opex</t>
        </is>
      </c>
      <c r="N1" s="1" t="inlineStr">
        <is>
          <t>Y4 HC</t>
        </is>
      </c>
      <c r="O1" s="1" t="inlineStr">
        <is>
          <t>Y5 Capex</t>
        </is>
      </c>
      <c r="P1" s="1" t="inlineStr">
        <is>
          <t>Y5 Opex</t>
        </is>
      </c>
      <c r="Q1" s="1" t="inlineStr">
        <is>
          <t>Y5 HC</t>
        </is>
      </c>
      <c r="R1" s="1" t="inlineStr">
        <is>
          <t>5Y Total Capex</t>
        </is>
      </c>
      <c r="S1" s="1" t="inlineStr">
        <is>
          <t>5Y Total Opex</t>
        </is>
      </c>
    </row>
    <row r="2">
      <c r="A2" t="n">
        <v>1</v>
      </c>
      <c r="B2" t="inlineStr">
        <is>
          <t>AFANO Financial Services Group</t>
        </is>
      </c>
      <c r="C2" t="n">
        <v>40</v>
      </c>
      <c r="D2" t="n">
        <v>30</v>
      </c>
      <c r="E2" t="n">
        <v>50</v>
      </c>
      <c r="F2" t="n">
        <v>60</v>
      </c>
      <c r="G2" t="n">
        <v>45</v>
      </c>
      <c r="H2" t="n">
        <v>80</v>
      </c>
      <c r="I2" t="n">
        <v>90</v>
      </c>
      <c r="J2" t="n">
        <v>60</v>
      </c>
      <c r="K2" t="n">
        <v>120</v>
      </c>
      <c r="L2" t="n">
        <v>120</v>
      </c>
      <c r="M2" t="n">
        <v>80</v>
      </c>
      <c r="N2" t="n">
        <v>160</v>
      </c>
      <c r="O2" t="n">
        <v>160</v>
      </c>
      <c r="P2" t="n">
        <v>100</v>
      </c>
      <c r="Q2" t="n">
        <v>200</v>
      </c>
      <c r="R2" t="n">
        <v>470</v>
      </c>
      <c r="S2" t="n">
        <v>315</v>
      </c>
    </row>
    <row r="3">
      <c r="A3" t="n">
        <v>2</v>
      </c>
      <c r="B3" t="inlineStr">
        <is>
          <t>AFANO Energy &amp; Natural Resources Group</t>
        </is>
      </c>
      <c r="C3" t="n">
        <v>200</v>
      </c>
      <c r="D3" t="n">
        <v>80</v>
      </c>
      <c r="E3" t="n">
        <v>120</v>
      </c>
      <c r="F3" t="n">
        <v>300</v>
      </c>
      <c r="G3" t="n">
        <v>120</v>
      </c>
      <c r="H3" t="n">
        <v>180</v>
      </c>
      <c r="I3" t="n">
        <v>450</v>
      </c>
      <c r="J3" t="n">
        <v>160</v>
      </c>
      <c r="K3" t="n">
        <v>240</v>
      </c>
      <c r="L3" t="n">
        <v>600</v>
      </c>
      <c r="M3" t="n">
        <v>200</v>
      </c>
      <c r="N3" t="n">
        <v>320</v>
      </c>
      <c r="O3" t="n">
        <v>800</v>
      </c>
      <c r="P3" t="n">
        <v>240</v>
      </c>
      <c r="Q3" t="n">
        <v>400</v>
      </c>
      <c r="R3" t="n">
        <v>2350</v>
      </c>
      <c r="S3" t="n">
        <v>800</v>
      </c>
    </row>
    <row r="4">
      <c r="A4" t="n">
        <v>3</v>
      </c>
      <c r="B4" t="inlineStr">
        <is>
          <t>AFANO Technology &amp; Digital Innovation Group</t>
        </is>
      </c>
      <c r="C4" t="n">
        <v>30</v>
      </c>
      <c r="D4" t="n">
        <v>40</v>
      </c>
      <c r="E4" t="n">
        <v>80</v>
      </c>
      <c r="F4" t="n">
        <v>50</v>
      </c>
      <c r="G4" t="n">
        <v>60</v>
      </c>
      <c r="H4" t="n">
        <v>130</v>
      </c>
      <c r="I4" t="n">
        <v>80</v>
      </c>
      <c r="J4" t="n">
        <v>90</v>
      </c>
      <c r="K4" t="n">
        <v>200</v>
      </c>
      <c r="L4" t="n">
        <v>120</v>
      </c>
      <c r="M4" t="n">
        <v>130</v>
      </c>
      <c r="N4" t="n">
        <v>280</v>
      </c>
      <c r="O4" t="n">
        <v>170</v>
      </c>
      <c r="P4" t="n">
        <v>180</v>
      </c>
      <c r="Q4" t="n">
        <v>360</v>
      </c>
      <c r="R4" t="n">
        <v>450</v>
      </c>
      <c r="S4" t="n">
        <v>500</v>
      </c>
    </row>
    <row r="5">
      <c r="A5" t="n">
        <v>4</v>
      </c>
      <c r="B5" t="inlineStr">
        <is>
          <t>AFANO Infrastructure, Real Estate &amp; Development Group</t>
        </is>
      </c>
      <c r="C5" t="n">
        <v>150</v>
      </c>
      <c r="D5" t="n">
        <v>60</v>
      </c>
      <c r="E5" t="n">
        <v>90</v>
      </c>
      <c r="F5" t="n">
        <v>220</v>
      </c>
      <c r="G5" t="n">
        <v>90</v>
      </c>
      <c r="H5" t="n">
        <v>140</v>
      </c>
      <c r="I5" t="n">
        <v>320</v>
      </c>
      <c r="J5" t="n">
        <v>130</v>
      </c>
      <c r="K5" t="n">
        <v>200</v>
      </c>
      <c r="L5" t="n">
        <v>450</v>
      </c>
      <c r="M5" t="n">
        <v>180</v>
      </c>
      <c r="N5" t="n">
        <v>280</v>
      </c>
      <c r="O5" t="n">
        <v>600</v>
      </c>
      <c r="P5" t="n">
        <v>240</v>
      </c>
      <c r="Q5" t="n">
        <v>360</v>
      </c>
      <c r="R5" t="n">
        <v>1740</v>
      </c>
      <c r="S5" t="n">
        <v>700</v>
      </c>
    </row>
    <row r="6">
      <c r="A6" t="n">
        <v>5</v>
      </c>
      <c r="B6" t="inlineStr">
        <is>
          <t>AFANO Agriculture &amp; Agribusiness Group</t>
        </is>
      </c>
      <c r="C6" t="n">
        <v>50</v>
      </c>
      <c r="D6" t="n">
        <v>35</v>
      </c>
      <c r="E6" t="n">
        <v>70</v>
      </c>
      <c r="F6" t="n">
        <v>80</v>
      </c>
      <c r="G6" t="n">
        <v>55</v>
      </c>
      <c r="H6" t="n">
        <v>110</v>
      </c>
      <c r="I6" t="n">
        <v>120</v>
      </c>
      <c r="J6" t="n">
        <v>80</v>
      </c>
      <c r="K6" t="n">
        <v>160</v>
      </c>
      <c r="L6" t="n">
        <v>170</v>
      </c>
      <c r="M6" t="n">
        <v>110</v>
      </c>
      <c r="N6" t="n">
        <v>220</v>
      </c>
      <c r="O6" t="n">
        <v>230</v>
      </c>
      <c r="P6" t="n">
        <v>145</v>
      </c>
      <c r="Q6" t="n">
        <v>290</v>
      </c>
      <c r="R6" t="n">
        <v>650</v>
      </c>
      <c r="S6" t="n">
        <v>425</v>
      </c>
    </row>
    <row r="7">
      <c r="A7" t="n">
        <v>6</v>
      </c>
      <c r="B7" t="inlineStr">
        <is>
          <t>AFANO Healthcare &amp; Life Sciences Group</t>
        </is>
      </c>
      <c r="C7" t="n">
        <v>60</v>
      </c>
      <c r="D7" t="n">
        <v>50</v>
      </c>
      <c r="E7" t="n">
        <v>100</v>
      </c>
      <c r="F7" t="n">
        <v>90</v>
      </c>
      <c r="G7" t="n">
        <v>75</v>
      </c>
      <c r="H7" t="n">
        <v>150</v>
      </c>
      <c r="I7" t="n">
        <v>140</v>
      </c>
      <c r="J7" t="n">
        <v>110</v>
      </c>
      <c r="K7" t="n">
        <v>220</v>
      </c>
      <c r="L7" t="n">
        <v>200</v>
      </c>
      <c r="M7" t="n">
        <v>150</v>
      </c>
      <c r="N7" t="n">
        <v>300</v>
      </c>
      <c r="O7" t="n">
        <v>280</v>
      </c>
      <c r="P7" t="n">
        <v>200</v>
      </c>
      <c r="Q7" t="n">
        <v>400</v>
      </c>
      <c r="R7" t="n">
        <v>770</v>
      </c>
      <c r="S7" t="n">
        <v>585</v>
      </c>
    </row>
    <row r="8">
      <c r="A8" t="n">
        <v>7</v>
      </c>
      <c r="B8" t="inlineStr">
        <is>
          <t>AFANO Tourism, Hospitality &amp; Mobility Group</t>
        </is>
      </c>
      <c r="C8" t="n">
        <v>80</v>
      </c>
      <c r="D8" t="n">
        <v>60</v>
      </c>
      <c r="E8" t="n">
        <v>110</v>
      </c>
      <c r="F8" t="n">
        <v>120</v>
      </c>
      <c r="G8" t="n">
        <v>90</v>
      </c>
      <c r="H8" t="n">
        <v>170</v>
      </c>
      <c r="I8" t="n">
        <v>180</v>
      </c>
      <c r="J8" t="n">
        <v>130</v>
      </c>
      <c r="K8" t="n">
        <v>250</v>
      </c>
      <c r="L8" t="n">
        <v>250</v>
      </c>
      <c r="M8" t="n">
        <v>180</v>
      </c>
      <c r="N8" t="n">
        <v>340</v>
      </c>
      <c r="O8" t="n">
        <v>330</v>
      </c>
      <c r="P8" t="n">
        <v>240</v>
      </c>
      <c r="Q8" t="n">
        <v>450</v>
      </c>
      <c r="R8" t="n">
        <v>960</v>
      </c>
      <c r="S8" t="n">
        <v>700</v>
      </c>
    </row>
    <row r="9">
      <c r="A9" t="n">
        <v>8</v>
      </c>
      <c r="B9" t="inlineStr">
        <is>
          <t>AFANO Education, Training &amp; Workforce Development Group</t>
        </is>
      </c>
      <c r="C9" t="n">
        <v>20</v>
      </c>
      <c r="D9" t="n">
        <v>30</v>
      </c>
      <c r="E9" t="n">
        <v>60</v>
      </c>
      <c r="F9" t="n">
        <v>35</v>
      </c>
      <c r="G9" t="n">
        <v>45</v>
      </c>
      <c r="H9" t="n">
        <v>95</v>
      </c>
      <c r="I9" t="n">
        <v>55</v>
      </c>
      <c r="J9" t="n">
        <v>65</v>
      </c>
      <c r="K9" t="n">
        <v>140</v>
      </c>
      <c r="L9" t="n">
        <v>80</v>
      </c>
      <c r="M9" t="n">
        <v>90</v>
      </c>
      <c r="N9" t="n">
        <v>195</v>
      </c>
      <c r="O9" t="n">
        <v>110</v>
      </c>
      <c r="P9" t="n">
        <v>120</v>
      </c>
      <c r="Q9" t="n">
        <v>260</v>
      </c>
      <c r="R9" t="n">
        <v>300</v>
      </c>
      <c r="S9" t="n">
        <v>350</v>
      </c>
    </row>
    <row r="10">
      <c r="A10" t="n">
        <v>9</v>
      </c>
      <c r="B10" t="inlineStr">
        <is>
          <t>AFANO Media, Communications &amp; Entertainment Group</t>
        </is>
      </c>
      <c r="C10" t="n">
        <v>25</v>
      </c>
      <c r="D10" t="n">
        <v>35</v>
      </c>
      <c r="E10" t="n">
        <v>70</v>
      </c>
      <c r="F10" t="n">
        <v>40</v>
      </c>
      <c r="G10" t="n">
        <v>55</v>
      </c>
      <c r="H10" t="n">
        <v>110</v>
      </c>
      <c r="I10" t="n">
        <v>65</v>
      </c>
      <c r="J10" t="n">
        <v>80</v>
      </c>
      <c r="K10" t="n">
        <v>160</v>
      </c>
      <c r="L10" t="n">
        <v>95</v>
      </c>
      <c r="M10" t="n">
        <v>110</v>
      </c>
      <c r="N10" t="n">
        <v>220</v>
      </c>
      <c r="O10" t="n">
        <v>130</v>
      </c>
      <c r="P10" t="n">
        <v>145</v>
      </c>
      <c r="Q10" t="n">
        <v>290</v>
      </c>
      <c r="R10" t="n">
        <v>355</v>
      </c>
      <c r="S10" t="n">
        <v>425</v>
      </c>
    </row>
    <row r="11">
      <c r="A11" t="n">
        <v>10</v>
      </c>
      <c r="B11" t="inlineStr">
        <is>
          <t>AFANO Trade, Commerce &amp; Consumer Services Group</t>
        </is>
      </c>
      <c r="C11" t="n">
        <v>45</v>
      </c>
      <c r="D11" t="n">
        <v>40</v>
      </c>
      <c r="E11" t="n">
        <v>80</v>
      </c>
      <c r="F11" t="n">
        <v>70</v>
      </c>
      <c r="G11" t="n">
        <v>60</v>
      </c>
      <c r="H11" t="n">
        <v>125</v>
      </c>
      <c r="I11" t="n">
        <v>105</v>
      </c>
      <c r="J11" t="n">
        <v>90</v>
      </c>
      <c r="K11" t="n">
        <v>180</v>
      </c>
      <c r="L11" t="n">
        <v>150</v>
      </c>
      <c r="M11" t="n">
        <v>125</v>
      </c>
      <c r="N11" t="n">
        <v>250</v>
      </c>
      <c r="O11" t="n">
        <v>205</v>
      </c>
      <c r="P11" t="n">
        <v>165</v>
      </c>
      <c r="Q11" t="n">
        <v>330</v>
      </c>
      <c r="R11" t="n">
        <v>575</v>
      </c>
      <c r="S11" t="n">
        <v>480</v>
      </c>
    </row>
    <row r="12">
      <c r="A12" t="n">
        <v>11</v>
      </c>
      <c r="B12" t="inlineStr">
        <is>
          <t>AFANO Government, Defense &amp; National Security Group</t>
        </is>
      </c>
      <c r="C12" t="n">
        <v>90</v>
      </c>
      <c r="D12" t="n">
        <v>55</v>
      </c>
      <c r="E12" t="n">
        <v>100</v>
      </c>
      <c r="F12" t="n">
        <v>140</v>
      </c>
      <c r="G12" t="n">
        <v>85</v>
      </c>
      <c r="H12" t="n">
        <v>155</v>
      </c>
      <c r="I12" t="n">
        <v>210</v>
      </c>
      <c r="J12" t="n">
        <v>125</v>
      </c>
      <c r="K12" t="n">
        <v>230</v>
      </c>
      <c r="L12" t="n">
        <v>300</v>
      </c>
      <c r="M12" t="n">
        <v>175</v>
      </c>
      <c r="N12" t="n">
        <v>320</v>
      </c>
      <c r="O12" t="n">
        <v>410</v>
      </c>
      <c r="P12" t="n">
        <v>235</v>
      </c>
      <c r="Q12" t="n">
        <v>430</v>
      </c>
      <c r="R12" t="n">
        <v>1150</v>
      </c>
      <c r="S12" t="n">
        <v>675</v>
      </c>
    </row>
    <row r="13">
      <c r="A13" t="n">
        <v>12</v>
      </c>
      <c r="B13" t="inlineStr">
        <is>
          <t>AFANO Industrial Manufacturing &amp; Supply Chain Group</t>
        </is>
      </c>
      <c r="C13" t="n">
        <v>180</v>
      </c>
      <c r="D13" t="n">
        <v>70</v>
      </c>
      <c r="E13" t="n">
        <v>110</v>
      </c>
      <c r="F13" t="n">
        <v>270</v>
      </c>
      <c r="G13" t="n">
        <v>105</v>
      </c>
      <c r="H13" t="n">
        <v>170</v>
      </c>
      <c r="I13" t="n">
        <v>390</v>
      </c>
      <c r="J13" t="n">
        <v>155</v>
      </c>
      <c r="K13" t="n">
        <v>250</v>
      </c>
      <c r="L13" t="n">
        <v>540</v>
      </c>
      <c r="M13" t="n">
        <v>215</v>
      </c>
      <c r="N13" t="n">
        <v>340</v>
      </c>
      <c r="O13" t="n">
        <v>720</v>
      </c>
      <c r="P13" t="n">
        <v>285</v>
      </c>
      <c r="Q13" t="n">
        <v>450</v>
      </c>
      <c r="R13" t="n">
        <v>2100</v>
      </c>
      <c r="S13" t="n">
        <v>830</v>
      </c>
    </row>
    <row r="14">
      <c r="A14" t="n">
        <v>13</v>
      </c>
      <c r="B14" t="inlineStr">
        <is>
          <t>AFANO Professional &amp; Business Services Group</t>
        </is>
      </c>
      <c r="C14" t="n">
        <v>15</v>
      </c>
      <c r="D14" t="n">
        <v>35</v>
      </c>
      <c r="E14" t="n">
        <v>80</v>
      </c>
      <c r="F14" t="n">
        <v>25</v>
      </c>
      <c r="G14" t="n">
        <v>55</v>
      </c>
      <c r="H14" t="n">
        <v>130</v>
      </c>
      <c r="I14" t="n">
        <v>40</v>
      </c>
      <c r="J14" t="n">
        <v>80</v>
      </c>
      <c r="K14" t="n">
        <v>190</v>
      </c>
      <c r="L14" t="n">
        <v>60</v>
      </c>
      <c r="M14" t="n">
        <v>110</v>
      </c>
      <c r="N14" t="n">
        <v>260</v>
      </c>
      <c r="O14" t="n">
        <v>85</v>
      </c>
      <c r="P14" t="n">
        <v>145</v>
      </c>
      <c r="Q14" t="n">
        <v>340</v>
      </c>
      <c r="R14" t="n">
        <v>225</v>
      </c>
      <c r="S14" t="n">
        <v>425</v>
      </c>
    </row>
    <row r="15">
      <c r="A15" t="n">
        <v>14</v>
      </c>
      <c r="B15" t="inlineStr">
        <is>
          <t>AFANO Social Impact &amp; International Development Group</t>
        </is>
      </c>
      <c r="C15" t="n">
        <v>10</v>
      </c>
      <c r="D15" t="n">
        <v>20</v>
      </c>
      <c r="E15" t="n">
        <v>40</v>
      </c>
      <c r="F15" t="n">
        <v>18</v>
      </c>
      <c r="G15" t="n">
        <v>32</v>
      </c>
      <c r="H15" t="n">
        <v>70</v>
      </c>
      <c r="I15" t="n">
        <v>28</v>
      </c>
      <c r="J15" t="n">
        <v>48</v>
      </c>
      <c r="K15" t="n">
        <v>110</v>
      </c>
      <c r="L15" t="n">
        <v>42</v>
      </c>
      <c r="M15" t="n">
        <v>68</v>
      </c>
      <c r="N15" t="n">
        <v>160</v>
      </c>
      <c r="O15" t="n">
        <v>60</v>
      </c>
      <c r="P15" t="n">
        <v>92</v>
      </c>
      <c r="Q15" t="n">
        <v>220</v>
      </c>
      <c r="R15" t="n">
        <v>158</v>
      </c>
      <c r="S15" t="n">
        <v>260</v>
      </c>
    </row>
    <row r="16">
      <c r="A16" t="n">
        <v>15</v>
      </c>
      <c r="B16" t="inlineStr">
        <is>
          <t>AFANO Sports, Recreation &amp; Youth Development Group</t>
        </is>
      </c>
      <c r="C16" t="n">
        <v>20</v>
      </c>
      <c r="D16" t="n">
        <v>25</v>
      </c>
      <c r="E16" t="n">
        <v>50</v>
      </c>
      <c r="F16" t="n">
        <v>35</v>
      </c>
      <c r="G16" t="n">
        <v>40</v>
      </c>
      <c r="H16" t="n">
        <v>85</v>
      </c>
      <c r="I16" t="n">
        <v>55</v>
      </c>
      <c r="J16" t="n">
        <v>60</v>
      </c>
      <c r="K16" t="n">
        <v>130</v>
      </c>
      <c r="L16" t="n">
        <v>80</v>
      </c>
      <c r="M16" t="n">
        <v>85</v>
      </c>
      <c r="N16" t="n">
        <v>180</v>
      </c>
      <c r="O16" t="n">
        <v>110</v>
      </c>
      <c r="P16" t="n">
        <v>115</v>
      </c>
      <c r="Q16" t="n">
        <v>240</v>
      </c>
      <c r="R16" t="n">
        <v>300</v>
      </c>
      <c r="S16" t="n">
        <v>325</v>
      </c>
    </row>
    <row r="17">
      <c r="A17" s="2" t="inlineStr"/>
      <c r="B17" s="2" t="inlineStr">
        <is>
          <t>TOTALS</t>
        </is>
      </c>
      <c r="C17" s="2">
        <f>SUM(C2:C16)</f>
        <v/>
      </c>
      <c r="D17" s="2">
        <f>SUM(D2:D16)</f>
        <v/>
      </c>
      <c r="E17" s="2">
        <f>SUM(E2:E16)</f>
        <v/>
      </c>
      <c r="F17" s="2">
        <f>SUM(F2:F16)</f>
        <v/>
      </c>
      <c r="G17" s="2">
        <f>SUM(G2:G16)</f>
        <v/>
      </c>
      <c r="H17" s="2">
        <f>SUM(H2:H16)</f>
        <v/>
      </c>
      <c r="I17" s="2">
        <f>SUM(I2:I16)</f>
        <v/>
      </c>
      <c r="J17" s="2">
        <f>SUM(J2:J16)</f>
        <v/>
      </c>
      <c r="K17" s="2">
        <f>SUM(K2:K16)</f>
        <v/>
      </c>
      <c r="L17" s="2">
        <f>SUM(L2:L16)</f>
        <v/>
      </c>
      <c r="M17" s="2">
        <f>SUM(M2:M16)</f>
        <v/>
      </c>
      <c r="N17" s="2">
        <f>SUM(N2:N16)</f>
        <v/>
      </c>
      <c r="O17" s="2">
        <f>SUM(O2:O16)</f>
        <v/>
      </c>
      <c r="P17" s="2">
        <f>SUM(P2:P16)</f>
        <v/>
      </c>
      <c r="Q17" s="2">
        <f>SUM(Q2:Q16)</f>
        <v/>
      </c>
      <c r="R17" s="2">
        <f>SUM(R2:R16)</f>
        <v/>
      </c>
      <c r="S17" s="2">
        <f>SUM(S2:S16)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>
      <c r="A1" s="3" t="inlineStr">
        <is>
          <t>Item</t>
        </is>
      </c>
      <c r="B1" s="3" t="inlineStr">
        <is>
          <t>Assumption</t>
        </is>
      </c>
    </row>
    <row r="2">
      <c r="A2" t="inlineStr">
        <is>
          <t>Currency</t>
        </is>
      </c>
      <c r="B2" t="inlineStr">
        <is>
          <t>USD millions; FX hedged at Holdings Treasury.</t>
        </is>
      </c>
    </row>
    <row r="3">
      <c r="A3" t="inlineStr">
        <is>
          <t>Inflation</t>
        </is>
      </c>
      <c r="B3" t="inlineStr">
        <is>
          <t>5% blended across markets, 3% in OECD, 8-12% in frontier markets.</t>
        </is>
      </c>
    </row>
    <row r="4">
      <c r="A4" t="inlineStr">
        <is>
          <t>Discount Rate</t>
        </is>
      </c>
      <c r="B4" t="inlineStr">
        <is>
          <t>WACC 11% Group blended; SBG-level WACC adjusted for sector beta.</t>
        </is>
      </c>
    </row>
    <row r="5">
      <c r="A5" t="inlineStr">
        <is>
          <t>Capex Definition</t>
        </is>
      </c>
      <c r="B5" t="inlineStr">
        <is>
          <t>Tangible assets, plant, vehicles, IT systems, capitalized software.</t>
        </is>
      </c>
    </row>
    <row r="6">
      <c r="A6" t="inlineStr">
        <is>
          <t>Opex Definition</t>
        </is>
      </c>
      <c r="B6" t="inlineStr">
        <is>
          <t>Salaries, marketing, professional services, occupancy, technology.</t>
        </is>
      </c>
    </row>
    <row r="7">
      <c r="A7" t="inlineStr">
        <is>
          <t>Headcount (HC)</t>
        </is>
      </c>
      <c r="B7" t="inlineStr">
        <is>
          <t>Full-time equivalent; contractor headcount tracked separately.</t>
        </is>
      </c>
    </row>
    <row r="8">
      <c r="A8" t="inlineStr">
        <is>
          <t>Capital Allocation</t>
        </is>
      </c>
      <c r="B8" t="inlineStr">
        <is>
          <t>Annual ROIC review; no SBG is guaranteed renewal.</t>
        </is>
      </c>
    </row>
    <row r="9">
      <c r="A9" t="inlineStr">
        <is>
          <t>Funding Mix</t>
        </is>
      </c>
      <c r="B9" t="inlineStr">
        <is>
          <t>Initial: founder equity + non-dilutive grants. Years 2-3: senior debt at SOFR+250-400. Year 3+: bond program, sukuk, green bonds, sovereign co-investment.</t>
        </is>
      </c>
    </row>
    <row r="10">
      <c r="A10" t="inlineStr">
        <is>
          <t>Risk Reserve</t>
        </is>
      </c>
      <c r="B10" t="inlineStr">
        <is>
          <t>10% Group-level contingency held at Holdings.</t>
        </is>
      </c>
    </row>
    <row r="11">
      <c r="A11" t="inlineStr">
        <is>
          <t>Currency Hedge</t>
        </is>
      </c>
      <c r="B11" t="inlineStr">
        <is>
          <t>60-70% of forward 12-month FX exposure hedged.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2026-06-15T19:22:13Z</dcterms:created>
  <dcterms:modified xmlns:dcterms="http://purl.org/dc/terms/" xmlns:xsi="http://www.w3.org/2001/XMLSchema-instance" xsi:type="dcterms:W3CDTF">2026-06-15T19:22:13Z</dcterms:modified>
</cp:coreProperties>
</file>